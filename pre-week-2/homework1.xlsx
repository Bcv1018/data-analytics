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carrillo-vale\Documents\Data-Analytics\pre-week-2\"/>
    </mc:Choice>
  </mc:AlternateContent>
  <xr:revisionPtr revIDLastSave="0" documentId="13_ncr:1_{98E8A077-374B-4B5D-8069-1383BD692A56}" xr6:coauthVersionLast="47" xr6:coauthVersionMax="47" xr10:uidLastSave="{00000000-0000-0000-0000-000000000000}"/>
  <bookViews>
    <workbookView xWindow="-110" yWindow="-110" windowWidth="19420" windowHeight="11500" activeTab="1" xr2:uid="{69EF6B7A-1DB0-4576-8784-0B00A1D048DE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9" i="1" l="1"/>
  <c r="D19" i="1"/>
  <c r="D18" i="1"/>
  <c r="D17" i="1"/>
  <c r="B17" i="1"/>
  <c r="D16" i="1"/>
  <c r="B21" i="1"/>
  <c r="B20" i="1"/>
  <c r="B18" i="1"/>
  <c r="B16" i="1"/>
</calcChain>
</file>

<file path=xl/sharedStrings.xml><?xml version="1.0" encoding="utf-8"?>
<sst xmlns="http://schemas.openxmlformats.org/spreadsheetml/2006/main" count="26" uniqueCount="26">
  <si>
    <t>Store</t>
  </si>
  <si>
    <t>MonthlySales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</si>
  <si>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</si>
  <si>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</si>
  <si>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</si>
  <si>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</si>
  <si>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</si>
  <si>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</si>
  <si>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</si>
  <si>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</si>
  <si>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</si>
  <si>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</si>
  <si>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K</t>
  </si>
  <si>
    <t>Store L</t>
  </si>
  <si>
    <t>Mean:</t>
  </si>
  <si>
    <t>Median:</t>
  </si>
  <si>
    <t>Mode:</t>
  </si>
  <si>
    <t>Range:</t>
  </si>
  <si>
    <t>STDev</t>
  </si>
  <si>
    <t>StTDev2</t>
  </si>
  <si>
    <t>Mean</t>
  </si>
  <si>
    <t>Median</t>
  </si>
  <si>
    <t>mode</t>
  </si>
  <si>
    <t>range</t>
  </si>
  <si>
    <t>Create a worksheet named Store_Summary and write 5-7 sentences explaining:
a) The overall average performance
b) Whether store performance is tightly grouped or spread out
c) Whether one value significantly influences the results
d) What additional information you would want</t>
  </si>
  <si>
    <t xml:space="preserve">The overall average monthly sales of all the stores is 49.4. The stores perfomances is spread out, but if you take out Store H the stores perfomaces does become tightly grouped to a 2.9 instead of a 7.6 with Store H included. Store H's monthly sales does significantly influence the results of the stores perfomances. Store H is an outlier compared to the rest of the stores, with Store H the results indicate that the sales have a wider gap between the lowest and highest perfoming stores and has more variability in the stores performances. Without Store H the sales are more consistent and there is a less of a gap between the lowest and highest perfoming stores which is a gap of 9 instead of a 29 with Store H included.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</si>
</sst>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D0E74E-377C-4262-B483-A7B68166EDE6}">
  <dimension ref="A1:D21"/>
  <sheetViews>
    <sheetView workbookViewId="0">
      <selection activeCell="B20" sqref="B20"/>
    </sheetView>
  </sheetViews>
  <sheetFormatPr defaultRowHeight="14.5" x14ac:dyDescent="0.35"/>
  <cols>
    <col min="2" max="2" width="11.81640625" bestFit="1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>
        <v>51</v>
      </c>
      <c r="D2">
        <v>51</v>
      </c>
    </row>
    <row r="3" spans="1:4" x14ac:dyDescent="0.35">
      <c r="A3" t="s">
        <v>3</v>
      </c>
      <c r="B3">
        <v>44</v>
      </c>
      <c r="D3">
        <v>44</v>
      </c>
    </row>
    <row r="4" spans="1:4" x14ac:dyDescent="0.35">
      <c r="A4" t="s">
        <v>4</v>
      </c>
      <c r="B4">
        <v>49</v>
      </c>
      <c r="D4">
        <v>49</v>
      </c>
    </row>
    <row r="5" spans="1:4" x14ac:dyDescent="0.35">
      <c r="A5" t="s">
        <v>5</v>
      </c>
      <c r="B5">
        <v>46</v>
      </c>
      <c r="D5">
        <v>46</v>
      </c>
    </row>
    <row r="6" spans="1:4" x14ac:dyDescent="0.35">
      <c r="A6" t="s">
        <v>6</v>
      </c>
      <c r="B6">
        <v>52</v>
      </c>
      <c r="D6">
        <v>52</v>
      </c>
    </row>
    <row r="7" spans="1:4" x14ac:dyDescent="0.35">
      <c r="A7" t="s">
        <v>7</v>
      </c>
      <c r="B7">
        <v>47</v>
      </c>
      <c r="D7">
        <v>47</v>
      </c>
    </row>
    <row r="8" spans="1:4" x14ac:dyDescent="0.35">
      <c r="A8" t="s">
        <v>8</v>
      </c>
      <c r="B8">
        <v>45</v>
      </c>
      <c r="D8">
        <v>45</v>
      </c>
    </row>
    <row r="9" spans="1:4" x14ac:dyDescent="0.35">
      <c r="A9" t="s">
        <v>9</v>
      </c>
      <c r="B9">
        <v>72</v>
      </c>
    </row>
    <row r="10" spans="1:4" x14ac:dyDescent="0.35">
      <c r="A10" t="s">
        <v>10</v>
      </c>
      <c r="B10">
        <v>43</v>
      </c>
      <c r="D10">
        <v>43</v>
      </c>
    </row>
    <row r="11" spans="1:4" x14ac:dyDescent="0.35">
      <c r="A11" t="s">
        <v>11</v>
      </c>
      <c r="B11">
        <v>48</v>
      </c>
      <c r="D11">
        <v>48</v>
      </c>
    </row>
    <row r="12" spans="1:4" x14ac:dyDescent="0.35">
      <c r="A12" t="s">
        <v>12</v>
      </c>
      <c r="B12">
        <v>46</v>
      </c>
      <c r="D12">
        <v>46</v>
      </c>
    </row>
    <row r="13" spans="1:4" x14ac:dyDescent="0.35">
      <c r="A13" t="s">
        <v>13</v>
      </c>
      <c r="B13">
        <v>50</v>
      </c>
      <c r="D13">
        <v>50</v>
      </c>
    </row>
    <row r="16" spans="1:4" x14ac:dyDescent="0.35">
      <c r="A16" t="s">
        <v>14</v>
      </c>
      <c r="B16">
        <f>AVERAGE(B2:B13)</f>
        <v>49.416666666666664</v>
      </c>
      <c r="C16" t="s">
        <v>20</v>
      </c>
      <c r="D16">
        <f>AVERAGE(D2:D13)</f>
        <v>47.363636363636367</v>
      </c>
    </row>
    <row r="17" spans="1:4" x14ac:dyDescent="0.35">
      <c r="A17" t="s">
        <v>15</v>
      </c>
      <c r="B17">
        <f>MEDIAN(B2:B13)</f>
        <v>47.5</v>
      </c>
      <c r="C17" t="s">
        <v>21</v>
      </c>
      <c r="D17">
        <f>MEDIAN(D2:D13)</f>
        <v>47</v>
      </c>
    </row>
    <row r="18" spans="1:4" x14ac:dyDescent="0.35">
      <c r="A18" t="s">
        <v>16</v>
      </c>
      <c r="B18">
        <f>_xlfn.MODE.SNGL(B2:B13)</f>
        <v>46</v>
      </c>
      <c r="C18" t="s">
        <v>22</v>
      </c>
      <c r="D18">
        <f>_xlfn.MODE.SNGL(D2:D13)</f>
        <v>46</v>
      </c>
    </row>
    <row r="19" spans="1:4" x14ac:dyDescent="0.35">
      <c r="A19" t="s">
        <v>17</v>
      </c>
      <c r="B19">
        <f>MAX(B2:B13)- MIN(B2:B13)</f>
        <v>29</v>
      </c>
      <c r="C19" t="s">
        <v>23</v>
      </c>
      <c r="D19">
        <f>MAX(D2:D13) - MIN(D2:D13)</f>
        <v>9</v>
      </c>
    </row>
    <row r="20" spans="1:4" x14ac:dyDescent="0.35">
      <c r="A20" t="s">
        <v>18</v>
      </c>
      <c r="B20">
        <f>_xlfn.STDEV.S(B2:B13)</f>
        <v>7.6331613054586773</v>
      </c>
    </row>
    <row r="21" spans="1:4" x14ac:dyDescent="0.35">
      <c r="A21" t="s">
        <v>19</v>
      </c>
      <c r="B21">
        <f>_xlfn.STDEV.S(D2:D13)</f>
        <v>2.9076701075853588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39517-7FB0-466F-B426-B4EEBB12F99E}">
  <dimension ref="A1:A4"/>
  <sheetViews>
    <sheetView tabSelected="1" workbookViewId="0"/>
  </sheetViews>
  <sheetFormatPr defaultRowHeight="14.5" x14ac:dyDescent="0.35"/>
  <cols>
    <col min="1" max="1" width="59.90625" customWidth="1"/>
  </cols>
  <sheetData>
    <row r="1" spans="1:1" ht="87" x14ac:dyDescent="0.35">
      <c r="A1" s="1" t="s">
        <v>24</v>
      </c>
    </row>
    <row r="4" spans="1:1" ht="174" x14ac:dyDescent="0.35">
      <c r="A4" s="1" t="s">
        <v>25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carrillo-valencia</dc:creator>
  <cp:lastModifiedBy>brandon carrillo-valencia</cp:lastModifiedBy>
  <dcterms:created xsi:type="dcterms:W3CDTF">2026-03-26T03:31:30Z</dcterms:created>
  <dcterms:modified xsi:type="dcterms:W3CDTF">2026-03-26T05:14:13Z</dcterms:modified>
</cp:coreProperties>
</file>