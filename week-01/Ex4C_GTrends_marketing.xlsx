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DataAnalytics\week-01\"/>
    </mc:Choice>
  </mc:AlternateContent>
  <xr:revisionPtr revIDLastSave="0" documentId="13_ncr:1_{08600A20-A269-4C67-8A12-45D38A754FF7}" xr6:coauthVersionLast="47" xr6:coauthVersionMax="47" xr10:uidLastSave="{00000000-0000-0000-0000-000000000000}"/>
  <bookViews>
    <workbookView xWindow="-120" yWindow="-120" windowWidth="38640" windowHeight="21120" activeTab="2" xr2:uid="{49F1C08D-31FF-4AB3-807B-E395AC2E4217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D8" i="3"/>
  <c r="D9" i="3"/>
  <c r="D10" i="3"/>
  <c r="D11" i="3"/>
  <c r="D3" i="3"/>
  <c r="D4" i="3"/>
  <c r="D5" i="3"/>
  <c r="D6" i="3"/>
  <c r="D7" i="3"/>
  <c r="D2" i="3"/>
  <c r="C3" i="3"/>
  <c r="C4" i="3"/>
  <c r="C5" i="3"/>
  <c r="C2" i="3"/>
  <c r="H1" i="1"/>
</calcChain>
</file>

<file path=xl/sharedStrings.xml><?xml version="1.0" encoding="utf-8"?>
<sst xmlns="http://schemas.openxmlformats.org/spreadsheetml/2006/main" count="154" uniqueCount="70">
  <si>
    <t>Region</t>
  </si>
  <si>
    <t>North Carolina</t>
  </si>
  <si>
    <t>South Carolina</t>
  </si>
  <si>
    <t>Alabama</t>
  </si>
  <si>
    <t>Tennessee</t>
  </si>
  <si>
    <t>Kentucky</t>
  </si>
  <si>
    <t>Utah</t>
  </si>
  <si>
    <t>Indiana</t>
  </si>
  <si>
    <t>Illinois</t>
  </si>
  <si>
    <t>Oklahoma</t>
  </si>
  <si>
    <t>Virginia</t>
  </si>
  <si>
    <t>West Virginia</t>
  </si>
  <si>
    <t>Georgia</t>
  </si>
  <si>
    <t>Pennsylvania</t>
  </si>
  <si>
    <t>Connecticut</t>
  </si>
  <si>
    <t>Texas</t>
  </si>
  <si>
    <t>Rhode Island</t>
  </si>
  <si>
    <t>Arkansas</t>
  </si>
  <si>
    <t>Ohio</t>
  </si>
  <si>
    <t>Kansas</t>
  </si>
  <si>
    <t>Maryland</t>
  </si>
  <si>
    <t>New Jersey</t>
  </si>
  <si>
    <t>Michigan</t>
  </si>
  <si>
    <t>Missouri</t>
  </si>
  <si>
    <t>Florida</t>
  </si>
  <si>
    <t>Nevada</t>
  </si>
  <si>
    <t>Delaware</t>
  </si>
  <si>
    <t>Mississippi</t>
  </si>
  <si>
    <t>Idaho</t>
  </si>
  <si>
    <t>Wisconsin</t>
  </si>
  <si>
    <t>Arizona</t>
  </si>
  <si>
    <t>Iowa</t>
  </si>
  <si>
    <t>North Dakota</t>
  </si>
  <si>
    <t>California</t>
  </si>
  <si>
    <t>New Hampshire</t>
  </si>
  <si>
    <t>Louisiana</t>
  </si>
  <si>
    <t>Minnesota</t>
  </si>
  <si>
    <t>Nebraska</t>
  </si>
  <si>
    <t>Washington</t>
  </si>
  <si>
    <t>New Mexico</t>
  </si>
  <si>
    <t>Oregon</t>
  </si>
  <si>
    <t>New York</t>
  </si>
  <si>
    <t>Massachusetts</t>
  </si>
  <si>
    <t>Colorado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</si>
  <si>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</si>
  <si>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</si>
  <si>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</si>
  <si>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</si>
  <si>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</si>
  <si>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</si>
  <si>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</si>
  <si>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</si>
  <si>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</si>
  <si>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</si>
  <si>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</si>
  <si>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</si>
  <si>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 xml:space="preserve">Hamburger: </t>
  </si>
  <si>
    <t xml:space="preserve">Milkshake: </t>
  </si>
  <si>
    <t xml:space="preserve">Breakup: </t>
  </si>
  <si>
    <t>State</t>
  </si>
  <si>
    <t>Sales Region</t>
  </si>
  <si>
    <t>Hamburger</t>
  </si>
  <si>
    <t>Milkshake</t>
  </si>
  <si>
    <t>Northwest</t>
  </si>
  <si>
    <t>North Central</t>
  </si>
  <si>
    <t>Row Labels</t>
  </si>
  <si>
    <t>Grand Total</t>
  </si>
  <si>
    <t>(All)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</si>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</sst>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0.76</c:v>
                </c:pt>
                <c:pt idx="8">
                  <c:v>0.69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2-4A58-8B5E-49BC12BAC8C3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0.17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72-4A58-8B5E-49BC12BAC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624816"/>
        <c:axId val="959656496"/>
      </c:barChart>
      <c:catAx>
        <c:axId val="95962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56496"/>
        <c:crosses val="autoZero"/>
        <c:auto val="1"/>
        <c:lblAlgn val="ctr"/>
        <c:lblOffset val="100"/>
        <c:noMultiLvlLbl val="0"/>
      </c:catAx>
      <c:valAx>
        <c:axId val="9596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2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11</xdr:row>
      <xdr:rowOff>176212</xdr:rowOff>
    </xdr:from>
    <xdr:to>
      <xdr:col>10</xdr:col>
      <xdr:colOff>514350</xdr:colOff>
      <xdr:row>26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A62F5-5FF7-16E0-B7BE-133BA0DCE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" refreshedDate="46123.660275925926" createdVersion="8" refreshedVersion="8" minRefreshableVersion="3" recordCount="10" xr:uid="{998E4B74-4F43-4341-B2FF-284A3499312B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7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9"/>
    <n v="0.17"/>
  </r>
  <r>
    <x v="1"/>
    <x v="0"/>
    <n v="0.69"/>
    <n v="0.17"/>
  </r>
  <r>
    <x v="2"/>
    <x v="0"/>
    <n v="0.67"/>
    <n v="0.19"/>
  </r>
  <r>
    <x v="3"/>
    <x v="0"/>
    <n v="0.74"/>
    <n v="0.14000000000000001"/>
  </r>
  <r>
    <x v="4"/>
    <x v="1"/>
    <n v="0.7"/>
    <n v="0.18"/>
  </r>
  <r>
    <x v="5"/>
    <x v="1"/>
    <n v="0.76"/>
    <n v="0.14000000000000001"/>
  </r>
  <r>
    <x v="6"/>
    <x v="1"/>
    <n v="0.69"/>
    <n v="0.18"/>
  </r>
  <r>
    <x v="7"/>
    <x v="1"/>
    <n v="0.68"/>
    <n v="0.18"/>
  </r>
  <r>
    <x v="8"/>
    <x v="1"/>
    <n v="0.67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CD461-2C79-422A-BB3C-078242ACF3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27B7-5721-4573-9A96-65F89E45E681}">
  <sheetPr codeName="Sheet1">
    <tabColor theme="3" tint="0.499984740745262"/>
  </sheetPr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5" x14ac:dyDescent="0.25"/>
  <cols>
    <col min="1" max="1" width="11.140625" bestFit="1" customWidth="1"/>
    <col min="2" max="2" width="18.7109375" bestFit="1" customWidth="1"/>
    <col min="3" max="3" width="14.140625" bestFit="1" customWidth="1"/>
    <col min="4" max="4" width="13.28515625" bestFit="1" customWidth="1"/>
    <col min="5" max="5" width="11.5703125" bestFit="1" customWidth="1"/>
    <col min="7" max="7" width="11.140625" bestFit="1" customWidth="1"/>
    <col min="8" max="8" width="3" bestFit="1" customWidth="1"/>
    <col min="10" max="10" width="10.85546875" bestFit="1" customWidth="1"/>
    <col min="11" max="11" width="14.570312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30</v>
      </c>
      <c r="C4" s="1">
        <v>0.67</v>
      </c>
      <c r="D4" s="1">
        <v>0.19</v>
      </c>
      <c r="E4" s="1">
        <v>0.14000000000000001</v>
      </c>
    </row>
    <row r="5" spans="1:11" x14ac:dyDescent="0.25">
      <c r="A5">
        <v>4</v>
      </c>
      <c r="B5" t="s">
        <v>17</v>
      </c>
      <c r="C5" s="1">
        <v>0.67</v>
      </c>
      <c r="D5" s="1">
        <v>0.2</v>
      </c>
      <c r="E5" s="1">
        <v>0.13</v>
      </c>
    </row>
    <row r="6" spans="1:11" x14ac:dyDescent="0.25">
      <c r="A6">
        <v>5</v>
      </c>
      <c r="B6" t="s">
        <v>33</v>
      </c>
      <c r="C6" s="1">
        <v>0.67</v>
      </c>
      <c r="D6" s="1">
        <v>0.19</v>
      </c>
      <c r="E6" s="1">
        <v>0.14000000000000001</v>
      </c>
    </row>
    <row r="7" spans="1:11" x14ac:dyDescent="0.25">
      <c r="A7">
        <v>6</v>
      </c>
      <c r="B7" t="s">
        <v>43</v>
      </c>
      <c r="C7" s="1">
        <v>0.69</v>
      </c>
      <c r="D7" s="1">
        <v>0.17</v>
      </c>
      <c r="E7" s="1">
        <v>0.14000000000000001</v>
      </c>
    </row>
    <row r="8" spans="1:11" x14ac:dyDescent="0.25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 x14ac:dyDescent="0.2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25">
      <c r="A12">
        <v>11</v>
      </c>
      <c r="B12" t="s">
        <v>12</v>
      </c>
      <c r="C12" s="1">
        <v>0.64</v>
      </c>
      <c r="D12" s="1">
        <v>0.22</v>
      </c>
      <c r="E12" s="1">
        <v>0.14000000000000001</v>
      </c>
    </row>
    <row r="13" spans="1:11" x14ac:dyDescent="0.25">
      <c r="A13">
        <v>12</v>
      </c>
      <c r="B13" t="s">
        <v>47</v>
      </c>
      <c r="C13" s="1">
        <v>0.72</v>
      </c>
      <c r="D13" s="1">
        <v>0.15</v>
      </c>
      <c r="E13" s="1">
        <v>0.13</v>
      </c>
    </row>
    <row r="14" spans="1:11" x14ac:dyDescent="0.25">
      <c r="A14">
        <v>13</v>
      </c>
      <c r="B14" t="s">
        <v>28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8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31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19</v>
      </c>
      <c r="C18" s="1">
        <v>0.66</v>
      </c>
      <c r="D18" s="1">
        <v>0.2</v>
      </c>
      <c r="E18" s="1">
        <v>0.14000000000000001</v>
      </c>
    </row>
    <row r="19" spans="1:5" x14ac:dyDescent="0.2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35</v>
      </c>
      <c r="C20" s="1">
        <v>0.67</v>
      </c>
      <c r="D20" s="1">
        <v>0.2</v>
      </c>
      <c r="E20" s="1">
        <v>0.13</v>
      </c>
    </row>
    <row r="21" spans="1:5" x14ac:dyDescent="0.2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20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42</v>
      </c>
      <c r="C23" s="1">
        <v>0.61</v>
      </c>
      <c r="D23" s="1">
        <v>0.21</v>
      </c>
      <c r="E23" s="1">
        <v>0.18</v>
      </c>
    </row>
    <row r="24" spans="1:5" x14ac:dyDescent="0.2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27</v>
      </c>
      <c r="C26" s="1">
        <v>0.69</v>
      </c>
      <c r="D26" s="1">
        <v>0.19</v>
      </c>
      <c r="E26" s="1">
        <v>0.12</v>
      </c>
    </row>
    <row r="27" spans="1:5" x14ac:dyDescent="0.25">
      <c r="A27">
        <v>26</v>
      </c>
      <c r="B27" t="s">
        <v>23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25">
      <c r="A29">
        <v>28</v>
      </c>
      <c r="B29" t="s">
        <v>37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25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34</v>
      </c>
      <c r="C31" s="1">
        <v>0.66</v>
      </c>
      <c r="D31" s="1">
        <v>0.21</v>
      </c>
      <c r="E31" s="1">
        <v>0.13</v>
      </c>
    </row>
    <row r="32" spans="1:5" x14ac:dyDescent="0.25">
      <c r="A32">
        <v>31</v>
      </c>
      <c r="B32" t="s">
        <v>21</v>
      </c>
      <c r="C32" s="1">
        <v>0.62</v>
      </c>
      <c r="D32" s="1">
        <v>0.22</v>
      </c>
      <c r="E32" s="1">
        <v>0.16</v>
      </c>
    </row>
    <row r="33" spans="1:5" x14ac:dyDescent="0.25">
      <c r="A33">
        <v>32</v>
      </c>
      <c r="B33" t="s">
        <v>39</v>
      </c>
      <c r="C33" s="1">
        <v>0.67</v>
      </c>
      <c r="D33" s="1">
        <v>0.18</v>
      </c>
      <c r="E33" s="1">
        <v>0.15</v>
      </c>
    </row>
    <row r="34" spans="1:5" x14ac:dyDescent="0.25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1</v>
      </c>
      <c r="C35" s="1">
        <v>0.62</v>
      </c>
      <c r="D35" s="1">
        <v>0.25</v>
      </c>
      <c r="E35" s="1">
        <v>0.13</v>
      </c>
    </row>
    <row r="36" spans="1:5" x14ac:dyDescent="0.25">
      <c r="A36">
        <v>35</v>
      </c>
      <c r="B36" t="s">
        <v>32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18</v>
      </c>
      <c r="C37" s="1">
        <v>0.64</v>
      </c>
      <c r="D37" s="1">
        <v>0.22</v>
      </c>
      <c r="E37" s="1">
        <v>0.14000000000000001</v>
      </c>
    </row>
    <row r="38" spans="1:5" x14ac:dyDescent="0.25">
      <c r="A38">
        <v>37</v>
      </c>
      <c r="B38" t="s">
        <v>9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40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13</v>
      </c>
      <c r="C40" s="1">
        <v>0.63</v>
      </c>
      <c r="D40" s="1">
        <v>0.22</v>
      </c>
      <c r="E40" s="1">
        <v>0.15</v>
      </c>
    </row>
    <row r="41" spans="1:5" x14ac:dyDescent="0.25">
      <c r="A41">
        <v>40</v>
      </c>
      <c r="B41" t="s">
        <v>16</v>
      </c>
      <c r="C41" s="1">
        <v>0.65</v>
      </c>
      <c r="D41" s="1">
        <v>0.22</v>
      </c>
      <c r="E41" s="1">
        <v>0.13</v>
      </c>
    </row>
    <row r="42" spans="1:5" x14ac:dyDescent="0.25">
      <c r="A42">
        <v>41</v>
      </c>
      <c r="B42" t="s">
        <v>2</v>
      </c>
      <c r="C42" s="1">
        <v>0.66</v>
      </c>
      <c r="D42" s="1">
        <v>0.22</v>
      </c>
      <c r="E42" s="1">
        <v>0.12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4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15</v>
      </c>
      <c r="C45" s="1">
        <v>0.66</v>
      </c>
      <c r="D45" s="1">
        <v>0.21</v>
      </c>
      <c r="E45" s="1">
        <v>0.13</v>
      </c>
    </row>
    <row r="46" spans="1:5" x14ac:dyDescent="0.25">
      <c r="A46">
        <v>45</v>
      </c>
      <c r="B46" t="s">
        <v>6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10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38</v>
      </c>
      <c r="C49" s="1">
        <v>0.69</v>
      </c>
      <c r="D49" s="1">
        <v>0.17</v>
      </c>
      <c r="E49" s="1">
        <v>0.14000000000000001</v>
      </c>
    </row>
    <row r="50" spans="1:5" x14ac:dyDescent="0.2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29</v>
      </c>
      <c r="C51" s="1">
        <v>0.67</v>
      </c>
      <c r="D51" s="1">
        <v>0.2</v>
      </c>
      <c r="E51" s="1">
        <v>0.13</v>
      </c>
    </row>
    <row r="52" spans="1:5" x14ac:dyDescent="0.25">
      <c r="A52">
        <v>51</v>
      </c>
      <c r="B52" t="s">
        <v>46</v>
      </c>
      <c r="C52" s="1">
        <v>0.72</v>
      </c>
      <c r="D52" s="1">
        <v>0.16</v>
      </c>
      <c r="E52" s="1">
        <v>0.12</v>
      </c>
    </row>
  </sheetData>
  <autoFilter ref="A1:E1" xr:uid="{0B8F27B7-5721-4573-9A96-65F89E45E68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4A0D-3D22-4C76-AAB6-7DC2804C515D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5" x14ac:dyDescent="0.25"/>
  <sheetData>
    <row r="1" spans="1:52" x14ac:dyDescent="0.25">
      <c r="A1" t="s">
        <v>0</v>
      </c>
      <c r="B1" t="s">
        <v>3</v>
      </c>
      <c r="C1" t="s">
        <v>50</v>
      </c>
      <c r="D1" t="s">
        <v>30</v>
      </c>
      <c r="E1" t="s">
        <v>17</v>
      </c>
      <c r="F1" t="s">
        <v>33</v>
      </c>
      <c r="G1" t="s">
        <v>43</v>
      </c>
      <c r="H1" t="s">
        <v>14</v>
      </c>
      <c r="I1" t="s">
        <v>26</v>
      </c>
      <c r="J1" t="s">
        <v>51</v>
      </c>
      <c r="K1" t="s">
        <v>24</v>
      </c>
      <c r="L1" t="s">
        <v>12</v>
      </c>
      <c r="M1" t="s">
        <v>47</v>
      </c>
      <c r="N1" t="s">
        <v>28</v>
      </c>
      <c r="O1" t="s">
        <v>8</v>
      </c>
      <c r="P1" t="s">
        <v>7</v>
      </c>
      <c r="Q1" t="s">
        <v>31</v>
      </c>
      <c r="R1" t="s">
        <v>19</v>
      </c>
      <c r="S1" t="s">
        <v>5</v>
      </c>
      <c r="T1" t="s">
        <v>35</v>
      </c>
      <c r="U1" t="s">
        <v>45</v>
      </c>
      <c r="V1" t="s">
        <v>20</v>
      </c>
      <c r="W1" t="s">
        <v>42</v>
      </c>
      <c r="X1" t="s">
        <v>22</v>
      </c>
      <c r="Y1" t="s">
        <v>36</v>
      </c>
      <c r="Z1" t="s">
        <v>27</v>
      </c>
      <c r="AA1" t="s">
        <v>23</v>
      </c>
      <c r="AB1" t="s">
        <v>49</v>
      </c>
      <c r="AC1" t="s">
        <v>37</v>
      </c>
      <c r="AD1" t="s">
        <v>25</v>
      </c>
      <c r="AE1" t="s">
        <v>34</v>
      </c>
      <c r="AF1" t="s">
        <v>21</v>
      </c>
      <c r="AG1" t="s">
        <v>39</v>
      </c>
      <c r="AH1" t="s">
        <v>41</v>
      </c>
      <c r="AI1" t="s">
        <v>1</v>
      </c>
      <c r="AJ1" t="s">
        <v>32</v>
      </c>
      <c r="AK1" t="s">
        <v>18</v>
      </c>
      <c r="AL1" t="s">
        <v>9</v>
      </c>
      <c r="AM1" t="s">
        <v>40</v>
      </c>
      <c r="AN1" t="s">
        <v>13</v>
      </c>
      <c r="AO1" t="s">
        <v>16</v>
      </c>
      <c r="AP1" t="s">
        <v>2</v>
      </c>
      <c r="AQ1" t="s">
        <v>44</v>
      </c>
      <c r="AR1" t="s">
        <v>4</v>
      </c>
      <c r="AS1" t="s">
        <v>15</v>
      </c>
      <c r="AT1" t="s">
        <v>6</v>
      </c>
      <c r="AU1" t="s">
        <v>48</v>
      </c>
      <c r="AV1" t="s">
        <v>10</v>
      </c>
      <c r="AW1" t="s">
        <v>38</v>
      </c>
      <c r="AX1" t="s">
        <v>11</v>
      </c>
      <c r="AY1" t="s">
        <v>29</v>
      </c>
      <c r="AZ1" t="s">
        <v>46</v>
      </c>
    </row>
    <row r="2" spans="1:52" x14ac:dyDescent="0.25">
      <c r="A2" t="s">
        <v>56</v>
      </c>
      <c r="B2" s="1">
        <v>0.64</v>
      </c>
      <c r="C2" s="1">
        <v>0.72</v>
      </c>
      <c r="D2" s="1">
        <v>0.67</v>
      </c>
      <c r="E2" s="1">
        <v>0.67</v>
      </c>
      <c r="F2" s="1">
        <v>0.67</v>
      </c>
      <c r="G2" s="1">
        <v>0.69</v>
      </c>
      <c r="H2" s="1">
        <v>0.64</v>
      </c>
      <c r="I2" s="1">
        <v>0.64</v>
      </c>
      <c r="J2" s="1">
        <v>0.67</v>
      </c>
      <c r="K2" s="1">
        <v>0.64</v>
      </c>
      <c r="L2" s="1">
        <v>0.64</v>
      </c>
      <c r="M2" s="1">
        <v>0.72</v>
      </c>
      <c r="N2" s="1">
        <v>0.67</v>
      </c>
      <c r="O2" s="1">
        <v>0.63</v>
      </c>
      <c r="P2" s="1">
        <v>0.64</v>
      </c>
      <c r="Q2" s="1">
        <v>0.67</v>
      </c>
      <c r="R2" s="1">
        <v>0.66</v>
      </c>
      <c r="S2" s="1">
        <v>0.65</v>
      </c>
      <c r="T2" s="1">
        <v>0.67</v>
      </c>
      <c r="U2" s="1">
        <v>0.69</v>
      </c>
      <c r="V2" s="1">
        <v>0.62</v>
      </c>
      <c r="W2" s="1">
        <v>0.61</v>
      </c>
      <c r="X2" s="1">
        <v>0.67</v>
      </c>
      <c r="Y2" s="1">
        <v>0.68</v>
      </c>
      <c r="Z2" s="1">
        <v>0.69</v>
      </c>
      <c r="AA2" s="1">
        <v>0.68</v>
      </c>
      <c r="AB2" s="1">
        <v>0.74</v>
      </c>
      <c r="AC2" s="1">
        <v>0.69</v>
      </c>
      <c r="AD2" s="1">
        <v>0.68</v>
      </c>
      <c r="AE2" s="1">
        <v>0.66</v>
      </c>
      <c r="AF2" s="1">
        <v>0.62</v>
      </c>
      <c r="AG2" s="1">
        <v>0.67</v>
      </c>
      <c r="AH2" s="1">
        <v>0.64</v>
      </c>
      <c r="AI2" s="1">
        <v>0.62</v>
      </c>
      <c r="AJ2" s="1">
        <v>0.7</v>
      </c>
      <c r="AK2" s="1">
        <v>0.64</v>
      </c>
      <c r="AL2" s="1">
        <v>0.69</v>
      </c>
      <c r="AM2" s="1">
        <v>0.69</v>
      </c>
      <c r="AN2" s="1">
        <v>0.63</v>
      </c>
      <c r="AO2" s="1">
        <v>0.65</v>
      </c>
      <c r="AP2" s="1">
        <v>0.66</v>
      </c>
      <c r="AQ2" s="1">
        <v>0.76</v>
      </c>
      <c r="AR2" s="1">
        <v>0.66</v>
      </c>
      <c r="AS2" s="1">
        <v>0.66</v>
      </c>
      <c r="AT2" s="1">
        <v>0.65</v>
      </c>
      <c r="AU2" s="1">
        <v>0.69</v>
      </c>
      <c r="AV2" s="1">
        <v>0.63</v>
      </c>
      <c r="AW2" s="1">
        <v>0.69</v>
      </c>
      <c r="AX2" s="1">
        <v>0.64</v>
      </c>
      <c r="AY2" s="1">
        <v>0.67</v>
      </c>
      <c r="AZ2" s="1">
        <v>0.72</v>
      </c>
    </row>
    <row r="3" spans="1:52" x14ac:dyDescent="0.25">
      <c r="A3" t="s">
        <v>57</v>
      </c>
      <c r="B3" s="1">
        <v>0.24</v>
      </c>
      <c r="C3" s="1">
        <v>0.15</v>
      </c>
      <c r="D3" s="1">
        <v>0.19</v>
      </c>
      <c r="E3" s="1">
        <v>0.2</v>
      </c>
      <c r="F3" s="1">
        <v>0.19</v>
      </c>
      <c r="G3" s="1">
        <v>0.17</v>
      </c>
      <c r="H3" s="1">
        <v>0.22</v>
      </c>
      <c r="I3" s="1">
        <v>0.23</v>
      </c>
      <c r="J3" s="1">
        <v>0.17</v>
      </c>
      <c r="K3" s="1">
        <v>0.22</v>
      </c>
      <c r="L3" s="1">
        <v>0.22</v>
      </c>
      <c r="M3" s="1">
        <v>0.15</v>
      </c>
      <c r="N3" s="1">
        <v>0.19</v>
      </c>
      <c r="O3" s="1">
        <v>0.23</v>
      </c>
      <c r="P3" s="1">
        <v>0.23</v>
      </c>
      <c r="Q3" s="1">
        <v>0.2</v>
      </c>
      <c r="R3" s="1">
        <v>0.2</v>
      </c>
      <c r="S3" s="1">
        <v>0.22</v>
      </c>
      <c r="T3" s="1">
        <v>0.2</v>
      </c>
      <c r="U3" s="1">
        <v>0.18</v>
      </c>
      <c r="V3" s="1">
        <v>0.23</v>
      </c>
      <c r="W3" s="1">
        <v>0.21</v>
      </c>
      <c r="X3" s="1">
        <v>0.2</v>
      </c>
      <c r="Y3" s="1">
        <v>0.18</v>
      </c>
      <c r="Z3" s="1">
        <v>0.19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0.18</v>
      </c>
      <c r="AH3" s="1">
        <v>0.2</v>
      </c>
      <c r="AI3" s="1">
        <v>0.25</v>
      </c>
      <c r="AJ3" s="1">
        <v>0.18</v>
      </c>
      <c r="AK3" s="1">
        <v>0.22</v>
      </c>
      <c r="AL3" s="1">
        <v>0.19</v>
      </c>
      <c r="AM3" s="1">
        <v>0.17</v>
      </c>
      <c r="AN3" s="1">
        <v>0.22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0.23</v>
      </c>
      <c r="AW3" s="1">
        <v>0.17</v>
      </c>
      <c r="AX3" s="1">
        <v>0.23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0.14000000000000001</v>
      </c>
      <c r="E4" s="1">
        <v>0.13</v>
      </c>
      <c r="F4" s="1">
        <v>0.14000000000000001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0.13</v>
      </c>
      <c r="U4" s="1">
        <v>0.13</v>
      </c>
      <c r="V4" s="1">
        <v>0.15</v>
      </c>
      <c r="W4" s="1">
        <v>0.18</v>
      </c>
      <c r="X4" s="1">
        <v>0.13</v>
      </c>
      <c r="Y4" s="1">
        <v>0.14000000000000001</v>
      </c>
      <c r="Z4" s="1">
        <v>0.12</v>
      </c>
      <c r="AA4" s="1">
        <v>0.13</v>
      </c>
      <c r="AB4" s="1">
        <v>0.12</v>
      </c>
      <c r="AC4" s="1">
        <v>0.13</v>
      </c>
      <c r="AD4" s="1">
        <v>0.12</v>
      </c>
      <c r="AE4" s="1">
        <v>0.13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A4E2-885E-4F6A-A8A0-37BB0C4037B2}">
  <dimension ref="A1:D26"/>
  <sheetViews>
    <sheetView tabSelected="1" workbookViewId="0">
      <selection activeCell="A15" sqref="A15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0" bestFit="1" customWidth="1"/>
  </cols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38</v>
      </c>
      <c r="B2" t="s">
        <v>63</v>
      </c>
      <c r="C2" s="4">
        <f>VLOOKUP('sales region lookup'!A2,'By Search Term'!B:C, 2, FALSE)</f>
        <v>0.69</v>
      </c>
      <c r="D2" s="4">
        <f>_xlfn.XLOOKUP(A2,'By Search Term'!B1:B52,'By Search Term'!D1:D52,"not found")</f>
        <v>0.17</v>
      </c>
    </row>
    <row r="3" spans="1:4" x14ac:dyDescent="0.25">
      <c r="A3" t="s">
        <v>40</v>
      </c>
      <c r="B3" t="s">
        <v>63</v>
      </c>
      <c r="C3" s="4">
        <f>VLOOKUP('sales region lookup'!A3,'By Search Term'!B:C, 2, FALSE)</f>
        <v>0.69</v>
      </c>
      <c r="D3" s="4">
        <f>_xlfn.XLOOKUP(A3,'By Search Term'!B2:B53,'By Search Term'!D2:D53,"not found")</f>
        <v>0.17</v>
      </c>
    </row>
    <row r="4" spans="1:4" x14ac:dyDescent="0.25">
      <c r="A4" t="s">
        <v>28</v>
      </c>
      <c r="B4" t="s">
        <v>63</v>
      </c>
      <c r="C4" s="4">
        <f>VLOOKUP('sales region lookup'!A4,'By Search Term'!B:C, 2, FALSE)</f>
        <v>0.67</v>
      </c>
      <c r="D4" s="4">
        <f>_xlfn.XLOOKUP(A4,'By Search Term'!B3:B54,'By Search Term'!D3:D54,"not found")</f>
        <v>0.19</v>
      </c>
    </row>
    <row r="5" spans="1:4" x14ac:dyDescent="0.25">
      <c r="A5" t="s">
        <v>49</v>
      </c>
      <c r="B5" t="s">
        <v>63</v>
      </c>
      <c r="C5" s="4">
        <f>VLOOKUP('sales region lookup'!A5,'By Search Term'!B:C, 2, FALSE)</f>
        <v>0.74</v>
      </c>
      <c r="D5" s="4">
        <f>_xlfn.XLOOKUP(A5,'By Search Term'!B4:B55,'By Search Term'!D4:D55,"not found")</f>
        <v>0.14000000000000001</v>
      </c>
    </row>
    <row r="6" spans="1:4" x14ac:dyDescent="0.25">
      <c r="A6" t="s">
        <v>32</v>
      </c>
      <c r="B6" t="s">
        <v>64</v>
      </c>
      <c r="C6" s="4">
        <f>VLOOKUP('sales region lookup'!A6,'By Search Term'!B:C, 2, FALSE)</f>
        <v>0.7</v>
      </c>
      <c r="D6" s="4">
        <f>_xlfn.XLOOKUP(A6,'By Search Term'!B5:B56,'By Search Term'!D5:D56,"not found")</f>
        <v>0.18</v>
      </c>
    </row>
    <row r="7" spans="1:4" x14ac:dyDescent="0.25">
      <c r="A7" t="s">
        <v>44</v>
      </c>
      <c r="B7" t="s">
        <v>64</v>
      </c>
      <c r="C7" s="4">
        <f>VLOOKUP('sales region lookup'!A7,'By Search Term'!B:C, 2, FALSE)</f>
        <v>0.76</v>
      </c>
      <c r="D7" s="4">
        <f>_xlfn.XLOOKUP(A7,'By Search Term'!B6:B57,'By Search Term'!D6:D57,"not found")</f>
        <v>0.14000000000000001</v>
      </c>
    </row>
    <row r="8" spans="1:4" x14ac:dyDescent="0.25">
      <c r="A8" t="s">
        <v>37</v>
      </c>
      <c r="B8" t="s">
        <v>64</v>
      </c>
      <c r="C8" s="4">
        <f>VLOOKUP('sales region lookup'!A8,'By Search Term'!B:C, 2, FALSE)</f>
        <v>0.69</v>
      </c>
      <c r="D8" s="4">
        <f>_xlfn.XLOOKUP(A8,'By Search Term'!B7:B58,'By Search Term'!D7:D58,"not found")</f>
        <v>0.18</v>
      </c>
    </row>
    <row r="9" spans="1:4" x14ac:dyDescent="0.25">
      <c r="A9" t="s">
        <v>36</v>
      </c>
      <c r="B9" t="s">
        <v>64</v>
      </c>
      <c r="C9" s="4">
        <f>VLOOKUP('sales region lookup'!A9,'By Search Term'!B:C, 2, FALSE)</f>
        <v>0.68</v>
      </c>
      <c r="D9" s="4">
        <f>_xlfn.XLOOKUP(A9,'By Search Term'!B8:B59,'By Search Term'!D8:D59,"not found")</f>
        <v>0.18</v>
      </c>
    </row>
    <row r="10" spans="1:4" x14ac:dyDescent="0.25">
      <c r="A10" t="s">
        <v>29</v>
      </c>
      <c r="B10" t="s">
        <v>64</v>
      </c>
      <c r="C10" s="4">
        <f>VLOOKUP('sales region lookup'!A10,'By Search Term'!B:C, 2, FALSE)</f>
        <v>0.67</v>
      </c>
      <c r="D10" s="4">
        <f>_xlfn.XLOOKUP(A10,'By Search Term'!B9:B60,'By Search Term'!D9:D60,"not found")</f>
        <v>0.2</v>
      </c>
    </row>
    <row r="11" spans="1:4" x14ac:dyDescent="0.25">
      <c r="A11" t="s">
        <v>22</v>
      </c>
      <c r="B11" t="s">
        <v>64</v>
      </c>
      <c r="C11" s="4">
        <f>VLOOKUP('sales region lookup'!A11,'By Search Term'!B:C, 2, FALSE)</f>
        <v>0.67</v>
      </c>
      <c r="D11" s="4">
        <f>_xlfn.XLOOKUP(A11,'By Search Term'!B10:B61,'By Search Term'!D10:D61,"not found")</f>
        <v>0.2</v>
      </c>
    </row>
    <row r="13" spans="1:4" x14ac:dyDescent="0.25">
      <c r="A13" s="5" t="s">
        <v>60</v>
      </c>
      <c r="B13" t="s">
        <v>67</v>
      </c>
    </row>
    <row r="15" spans="1:4" x14ac:dyDescent="0.25">
      <c r="A15" s="5" t="s">
        <v>65</v>
      </c>
      <c r="B15" t="s">
        <v>68</v>
      </c>
      <c r="C15" t="s">
        <v>69</v>
      </c>
    </row>
    <row r="16" spans="1:4" x14ac:dyDescent="0.25">
      <c r="A16" s="6" t="s">
        <v>28</v>
      </c>
      <c r="B16" s="1">
        <v>0.67</v>
      </c>
      <c r="C16" s="1">
        <v>0.19</v>
      </c>
    </row>
    <row r="17" spans="1:3" x14ac:dyDescent="0.25">
      <c r="A17" s="6" t="s">
        <v>22</v>
      </c>
      <c r="B17" s="1">
        <v>0.67</v>
      </c>
      <c r="C17" s="1">
        <v>0.2</v>
      </c>
    </row>
    <row r="18" spans="1:3" x14ac:dyDescent="0.25">
      <c r="A18" s="6" t="s">
        <v>36</v>
      </c>
      <c r="B18" s="1">
        <v>0.68</v>
      </c>
      <c r="C18" s="1">
        <v>0.18</v>
      </c>
    </row>
    <row r="19" spans="1:3" x14ac:dyDescent="0.25">
      <c r="A19" s="6" t="s">
        <v>49</v>
      </c>
      <c r="B19" s="1">
        <v>0.74</v>
      </c>
      <c r="C19" s="1">
        <v>0.14000000000000001</v>
      </c>
    </row>
    <row r="20" spans="1:3" x14ac:dyDescent="0.25">
      <c r="A20" s="6" t="s">
        <v>37</v>
      </c>
      <c r="B20" s="1">
        <v>0.69</v>
      </c>
      <c r="C20" s="1">
        <v>0.18</v>
      </c>
    </row>
    <row r="21" spans="1:3" x14ac:dyDescent="0.25">
      <c r="A21" s="6" t="s">
        <v>32</v>
      </c>
      <c r="B21" s="1">
        <v>0.7</v>
      </c>
      <c r="C21" s="1">
        <v>0.18</v>
      </c>
    </row>
    <row r="22" spans="1:3" x14ac:dyDescent="0.25">
      <c r="A22" s="6" t="s">
        <v>40</v>
      </c>
      <c r="B22" s="1">
        <v>0.69</v>
      </c>
      <c r="C22" s="1">
        <v>0.17</v>
      </c>
    </row>
    <row r="23" spans="1:3" x14ac:dyDescent="0.25">
      <c r="A23" s="6" t="s">
        <v>44</v>
      </c>
      <c r="B23" s="1">
        <v>0.76</v>
      </c>
      <c r="C23" s="1">
        <v>0.14000000000000001</v>
      </c>
    </row>
    <row r="24" spans="1:3" x14ac:dyDescent="0.25">
      <c r="A24" s="6" t="s">
        <v>38</v>
      </c>
      <c r="B24" s="1">
        <v>0.69</v>
      </c>
      <c r="C24" s="1">
        <v>0.17</v>
      </c>
    </row>
    <row r="25" spans="1:3" x14ac:dyDescent="0.25">
      <c r="A25" s="6" t="s">
        <v>29</v>
      </c>
      <c r="B25" s="1">
        <v>0.67</v>
      </c>
      <c r="C25" s="1">
        <v>0.2</v>
      </c>
    </row>
    <row r="26" spans="1:3" x14ac:dyDescent="0.25">
      <c r="A26" s="6" t="s">
        <v>66</v>
      </c>
      <c r="B26" s="1">
        <v>6.9599999999999991</v>
      </c>
      <c r="C26" s="1">
        <v>1.7499999999999998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6bd13f-9dd9-424c-9bad-c8d5ab31255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84A957BF9F24D9F840D5314F082ED" ma:contentTypeVersion="5" ma:contentTypeDescription="Create a new document." ma:contentTypeScope="" ma:versionID="8b5d5841f82e622a3ef7997c0f4987d1">
  <xsd:schema xmlns:xsd="http://www.w3.org/2001/XMLSchema" xmlns:xs="http://www.w3.org/2001/XMLSchema" xmlns:p="http://schemas.microsoft.com/office/2006/metadata/properties" xmlns:ns3="816bd13f-9dd9-424c-9bad-c8d5ab31255a" targetNamespace="http://schemas.microsoft.com/office/2006/metadata/properties" ma:root="true" ma:fieldsID="0dd682bde36f69553c2d8fd86f95e446" ns3:_="">
    <xsd:import namespace="816bd13f-9dd9-424c-9bad-c8d5ab3125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d13f-9dd9-424c-9bad-c8d5ab3125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5A4B3C-6D34-454D-BE4B-78F209D20CBA}">
  <ds:schemaRefs>
    <ds:schemaRef ds:uri="http://purl.org/dc/dcmitype/"/>
    <ds:schemaRef ds:uri="816bd13f-9dd9-424c-9bad-c8d5ab31255a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89D1591-B375-4A90-B397-4E603F7F7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bd13f-9dd9-424c-9bad-c8d5ab312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F82AA6-F231-423A-B5FA-96E152122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 carrillo-valencia</cp:lastModifiedBy>
  <dcterms:created xsi:type="dcterms:W3CDTF">2026-04-11T21:13:13Z</dcterms:created>
  <dcterms:modified xsi:type="dcterms:W3CDTF">2026-04-11T22:51:43Z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0x01010058A84A957BF9F24D9F840D5314F082ED</vt:lpwstr>
  </property>
</Properties>
</file>