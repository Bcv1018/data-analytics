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Brandon\Documents\DataAnalytics\week-01\"/>
    </mc:Choice>
  </mc:AlternateContent>
  <xr:revisionPtr revIDLastSave="0" documentId="13_ncr:1_{D9E5B63A-625F-48C2-AC5D-5B5FE5F467AD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Responses data" sheetId="1" r:id="rId1"/>
    <sheet name="Charts" sheetId="2" r:id="rId2"/>
  </sheets>
  <calcPr calcId="191029"/>
  <pivotCaches>
    <pivotCache cacheId="2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6" i="1" l="1"/>
  <c r="K6" i="1"/>
  <c r="D3" i="1"/>
  <c r="D4" i="1"/>
  <c r="D5" i="1"/>
  <c r="H6" i="1"/>
  <c r="J6" i="1"/>
  <c r="D2" i="1"/>
  <c r="D6" i="1" s="1"/>
</calcChain>
</file>

<file path=xl/sharedStrings.xml><?xml version="1.0" encoding="utf-8"?>
<sst xmlns="http://schemas.openxmlformats.org/spreadsheetml/2006/main" count="56" uniqueCount="42">
  <si>
    <t>ID</t>
  </si>
  <si>
    <t>Start time</t>
  </si>
  <si>
    <t>Completion time</t>
  </si>
  <si>
    <t>Email</t>
  </si>
  <si>
    <t>Name</t>
  </si>
  <si>
    <t>Last modified time</t>
  </si>
  <si>
    <t>How would you rate Popeyes from 1-5 stars(1 being not good - 5 being excellent)?</t>
  </si>
  <si>
    <t>How often do you visit popeyes?</t>
  </si>
  <si>
    <t>How would you rate our customer service(1 being not good - 5 being excellent)?</t>
  </si>
  <si>
    <t>What is your favorite menu item?</t>
  </si>
  <si>
    <t>Are there any menu items you would like to see be added?</t>
  </si>
  <si>
    <t>If there was a rewards program. What would entice you to join and actively participate?</t>
  </si>
  <si>
    <t>Do you have any feedback or comments on what we could improve on?</t>
  </si>
  <si>
    <t>dlomeli@my.yearupunited.org</t>
  </si>
  <si>
    <t>destiney lomeli</t>
  </si>
  <si>
    <t>Daily</t>
  </si>
  <si>
    <t>Chicken Sandwiches</t>
  </si>
  <si>
    <t>Seasoned fries</t>
  </si>
  <si>
    <t>Free Menu Items?;</t>
  </si>
  <si>
    <t>Customer service</t>
  </si>
  <si>
    <t>nmiranda@my.yearupunited.org</t>
  </si>
  <si>
    <t>natalia miranda</t>
  </si>
  <si>
    <t>Monthly</t>
  </si>
  <si>
    <t>no</t>
  </si>
  <si>
    <t>Free Menu Items?;Limited Edition Merch;</t>
  </si>
  <si>
    <t>keep the restaurant more clean</t>
  </si>
  <si>
    <t>jgoode@my.yearupunited.org</t>
  </si>
  <si>
    <t>jeremiah goode</t>
  </si>
  <si>
    <t>Yearly</t>
  </si>
  <si>
    <t>Our Signature Chicken</t>
  </si>
  <si>
    <t>BRING BACK THE SURF &amp; TURF</t>
  </si>
  <si>
    <t>Discounts?;</t>
  </si>
  <si>
    <t>The chicken is amazing but the customer service is extremely rude. I asked for some sauce, that they forgot to give me, and cashier just tossed it on the counter.</t>
  </si>
  <si>
    <t>ktran1@my.yearupunited.org</t>
  </si>
  <si>
    <t>kevin tran</t>
  </si>
  <si>
    <t>More desserts</t>
  </si>
  <si>
    <t>Don't charge for dipping sauce</t>
  </si>
  <si>
    <t>Time to complete</t>
  </si>
  <si>
    <t>Row Labels</t>
  </si>
  <si>
    <t>Grand Total</t>
  </si>
  <si>
    <t>Count of Name</t>
  </si>
  <si>
    <t>Count of 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</si>
</sst>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\ h:mm:ss"/>
    <numFmt numFmtId="165" formatCode="mm/d/yyyy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65" fontId="0" fillId="0" borderId="0" xfId="0" applyNumberFormat="1"/>
    <xf numFmtId="4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2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\ h:mm:ss"/>
    </dxf>
    <dxf>
      <numFmt numFmtId="164" formatCode="m/d/yy\ h:mm:ss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8" formatCode="mm:ss"/>
    </dxf>
    <dxf>
      <numFmt numFmtId="165" formatCode="mm/d/yyyy\ hh:mm:ss"/>
    </dxf>
    <dxf>
      <numFmt numFmtId="164" formatCode="m/d/yy\ h:mm:ss"/>
    </dxf>
    <dxf>
      <numFmt numFmtId="164" formatCode="m/d/yy\ h:mm:ss"/>
    </dxf>
    <dxf>
      <numFmt numFmtId="165" formatCode="mm/d/yyyy\ hh:mm:ss"/>
    </dxf>
    <dxf>
      <numFmt numFmtId="165" formatCode="mm/d/yyyy\ hh:mm:ss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[Popeyes Customer Satisfaction survey(1-4).xlsx]Charts!PivotTable1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Rewards choices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 w="19050">
              <a:solidFill>
                <a:schemeClr val="bg1"/>
              </a:solidFill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</c:pivotFmt>
      <c:pivotFmt>
        <c:idx val="6"/>
      </c:pivotFmt>
      <c:pivotFmt>
        <c:idx val="7"/>
      </c:pivotFmt>
    </c:pivotFmts>
    <c:plotArea>
      <c:layout/>
      <c:pieChart>
        <c:varyColors val="1"/>
        <c:ser>
          <c:idx val="0"/>
          <c:order val="0"/>
          <c:tx>
            <c:strRef>
              <c:f>Charts!$B$1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4">
                      <a:shade val="65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hade val="65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shade val="65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01C-4DAD-A29C-C324B3478696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401C-4DAD-A29C-C324B3478696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4">
                      <a:tint val="65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tint val="65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tint val="65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401C-4DAD-A29C-C324B3478696}"/>
              </c:ext>
            </c:extLst>
          </c:dPt>
          <c:dLbls>
            <c:spPr>
              <a:noFill/>
              <a:ln w="19050">
                <a:solidFill>
                  <a:schemeClr val="bg1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Charts!$A$2:$A$5</c:f>
              <c:strCache>
                <c:ptCount val="3"/>
                <c:pt idx="0">
                  <c:v>Daily</c:v>
                </c:pt>
                <c:pt idx="1">
                  <c:v>Monthly</c:v>
                </c:pt>
                <c:pt idx="2">
                  <c:v>Yearly</c:v>
                </c:pt>
              </c:strCache>
            </c:strRef>
          </c:cat>
          <c:val>
            <c:numRef>
              <c:f>Charts!$B$2:$B$5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1C-4DAD-A29C-C324B3478696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[Popeyes Customer Satisfaction survey(1-4).xlsx]Charts!PivotTable3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Ratings for Popeyes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ctr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5">
              <a:shade val="76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8"/>
        <c:spPr>
          <a:solidFill>
            <a:schemeClr val="accent5">
              <a:tint val="77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Charts!$B$20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5">
                  <a:shade val="76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738-41C8-AF25-788A5C968535}"/>
              </c:ext>
            </c:extLst>
          </c:dPt>
          <c:dPt>
            <c:idx val="1"/>
            <c:bubble3D val="0"/>
            <c:spPr>
              <a:solidFill>
                <a:schemeClr val="accent5">
                  <a:tint val="77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738-41C8-AF25-788A5C96853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Charts!$A$21:$A$23</c:f>
              <c:strCache>
                <c:ptCount val="2"/>
                <c:pt idx="0">
                  <c:v>3</c:v>
                </c:pt>
                <c:pt idx="1">
                  <c:v>4</c:v>
                </c:pt>
              </c:strCache>
            </c:strRef>
          </c:cat>
          <c:val>
            <c:numRef>
              <c:f>Charts!$B$21:$B$23</c:f>
              <c:numCache>
                <c:formatCode>General</c:formatCode>
                <c:ptCount val="2"/>
                <c:pt idx="0">
                  <c:v>2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4CE-44E2-ACE6-9E7C1997ED97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[Popeyes Customer Satisfaction survey(1-4).xlsx]Charts!PivotTable2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Favorite Menu Item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pattFill prst="ltUpDiag">
            <a:fgClr>
              <a:schemeClr val="accent2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solidFill>
              <a:srgbClr val="ED7D31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Charts!$O$1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ltUpDiag">
              <a:fgClr>
                <a:schemeClr val="accent2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dLbls>
            <c:spPr>
              <a:solidFill>
                <a:srgbClr val="ED7D31">
                  <a:alpha val="70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2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Charts!$N$2:$N$4</c:f>
              <c:strCache>
                <c:ptCount val="2"/>
                <c:pt idx="0">
                  <c:v>Chicken Sandwiches</c:v>
                </c:pt>
                <c:pt idx="1">
                  <c:v>Our Signature Chicken</c:v>
                </c:pt>
              </c:strCache>
            </c:strRef>
          </c:cat>
          <c:val>
            <c:numRef>
              <c:f>Charts!$O$2:$O$4</c:f>
              <c:numCache>
                <c:formatCode>General</c:formatCode>
                <c:ptCount val="2"/>
                <c:pt idx="0">
                  <c:v>3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2F-4731-BFD0-FC8D56DDBEC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69"/>
        <c:overlap val="-20"/>
        <c:axId val="1590554255"/>
        <c:axId val="1590552815"/>
      </c:barChart>
      <c:catAx>
        <c:axId val="15905542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2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0552815"/>
        <c:crosses val="autoZero"/>
        <c:auto val="1"/>
        <c:lblAlgn val="ctr"/>
        <c:lblOffset val="100"/>
        <c:noMultiLvlLbl val="0"/>
      </c:catAx>
      <c:valAx>
        <c:axId val="15905528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0554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/>
    </a:solidFill>
    <a:ln w="9525" cap="flat" cmpd="sng" algn="ctr">
      <a:solidFill>
        <a:schemeClr val="accent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4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581025</xdr:colOff>
      <xdr:row>1</xdr:row>
      <xdr:rowOff>0</xdr:rowOff>
    </xdr:from>
    <xdr:to>
      <xdr:col>11</xdr:col>
      <xdr:colOff>276225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830D8F-8AFB-4E21-3632-E6F1DED4C0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604837</xdr:colOff>
      <xdr:row>18</xdr:row>
      <xdr:rowOff>176212</xdr:rowOff>
    </xdr:from>
    <xdr:to>
      <xdr:col>11</xdr:col>
      <xdr:colOff>300037</xdr:colOff>
      <xdr:row>33</xdr:row>
      <xdr:rowOff>61912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9DFB449-1140-8F3C-8D63-8012CE7289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0</xdr:colOff>
      <xdr:row>0</xdr:row>
      <xdr:rowOff>185737</xdr:rowOff>
    </xdr:from>
    <xdr:to>
      <xdr:col>24</xdr:col>
      <xdr:colOff>304800</xdr:colOff>
      <xdr:row>15</xdr:row>
      <xdr:rowOff>71437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7F2A51B-3A94-336D-B2AE-7292C8206B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andon" refreshedDate="46123.693146412035" createdVersion="8" refreshedVersion="8" minRefreshableVersion="3" recordCount="4" xr:uid="{5F861216-39DE-4914-8915-5F5A0EA6B4FE}">
  <cacheSource type="worksheet">
    <worksheetSource name="Table1"/>
  </cacheSource>
  <cacheFields count="14">
    <cacheField name="ID" numFmtId="0">
      <sharedItems containsSemiMixedTypes="0" containsString="0" containsNumber="1" containsInteger="1" minValue="1" maxValue="4"/>
    </cacheField>
    <cacheField name="Start time" numFmtId="165">
      <sharedItems containsSemiMixedTypes="0" containsNonDate="0" containsDate="1" containsString="0" minDate="2026-04-10T14:53:27" maxDate="2026-04-10T20:37:21"/>
    </cacheField>
    <cacheField name="Completion time" numFmtId="165">
      <sharedItems containsSemiMixedTypes="0" containsNonDate="0" containsDate="1" containsString="0" minDate="2026-04-10T14:54:35" maxDate="2026-04-13T14:54:35"/>
    </cacheField>
    <cacheField name="Time to complete" numFmtId="45">
      <sharedItems containsSemiMixedTypes="0" containsNonDate="0" containsDate="1" containsString="0" minDate="1899-12-30T00:01:08" maxDate="1900-01-01T18:17:14"/>
    </cacheField>
    <cacheField name="Email" numFmtId="0">
      <sharedItems/>
    </cacheField>
    <cacheField name="Name" numFmtId="0">
      <sharedItems count="4">
        <s v="destiney lomeli"/>
        <s v="natalia miranda"/>
        <s v="jeremiah goode"/>
        <s v="kevin tran"/>
      </sharedItems>
    </cacheField>
    <cacheField name="Last modified time" numFmtId="164">
      <sharedItems containsNonDate="0" containsString="0" containsBlank="1"/>
    </cacheField>
    <cacheField name="How would you rate Popeyes from 1-5 stars(1 being not good - 5 being excellent)?" numFmtId="0">
      <sharedItems containsSemiMixedTypes="0" containsString="0" containsNumber="1" containsInteger="1" minValue="3" maxValue="4" count="2">
        <n v="3"/>
        <n v="4"/>
      </sharedItems>
    </cacheField>
    <cacheField name="How often do you visit popeyes?" numFmtId="0">
      <sharedItems count="3">
        <s v="Daily"/>
        <s v="Monthly"/>
        <s v="Yearly"/>
      </sharedItems>
    </cacheField>
    <cacheField name="How would you rate our customer service(1 being not good - 5 being excellent)?" numFmtId="0">
      <sharedItems containsSemiMixedTypes="0" containsString="0" containsNumber="1" containsInteger="1" minValue="1" maxValue="4"/>
    </cacheField>
    <cacheField name="What is your favorite menu item?" numFmtId="0">
      <sharedItems count="2">
        <s v="Chicken Sandwiches"/>
        <s v="Our Signature Chicken"/>
      </sharedItems>
    </cacheField>
    <cacheField name="Are there any menu items you would like to see be added?" numFmtId="0">
      <sharedItems/>
    </cacheField>
    <cacheField name="If there was a rewards program. What would entice you to join and actively participate?" numFmtId="0">
      <sharedItems count="3">
        <s v="Free Menu Items?;"/>
        <s v="Free Menu Items?;Limited Edition Merch;"/>
        <s v="Discounts?;"/>
      </sharedItems>
    </cacheField>
    <cacheField name="Do you have any feedback or comments on what we could improve on?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n v="1"/>
    <d v="2026-04-10T14:53:27"/>
    <d v="2026-04-10T14:54:35"/>
    <d v="1899-12-30T00:01:08"/>
    <s v="dlomeli@my.yearupunited.org"/>
    <x v="0"/>
    <m/>
    <x v="0"/>
    <x v="0"/>
    <n v="1"/>
    <x v="0"/>
    <s v="Seasoned fries"/>
    <x v="0"/>
    <s v="Customer service"/>
  </r>
  <r>
    <n v="2"/>
    <d v="2026-04-10T14:59:13"/>
    <d v="2026-04-11T14:54:35"/>
    <d v="1899-12-30T23:55:22"/>
    <s v="nmiranda@my.yearupunited.org"/>
    <x v="1"/>
    <m/>
    <x v="1"/>
    <x v="1"/>
    <n v="4"/>
    <x v="0"/>
    <s v="no"/>
    <x v="1"/>
    <s v="keep the restaurant more clean"/>
  </r>
  <r>
    <n v="3"/>
    <d v="2026-04-10T17:36:51"/>
    <d v="2026-04-12T14:54:35"/>
    <d v="1899-12-31T21:17:44"/>
    <s v="jgoode@my.yearupunited.org"/>
    <x v="2"/>
    <m/>
    <x v="0"/>
    <x v="2"/>
    <n v="2"/>
    <x v="1"/>
    <s v="BRING BACK THE SURF &amp; TURF"/>
    <x v="2"/>
    <s v="The chicken is amazing but the customer service is extremely rude. I asked for some sauce, that they forgot to give me, and cashier just tossed it on the counter."/>
  </r>
  <r>
    <n v="4"/>
    <d v="2026-04-10T20:37:21"/>
    <d v="2026-04-13T14:54:35"/>
    <d v="1900-01-01T18:17:14"/>
    <s v="ktran1@my.yearupunited.org"/>
    <x v="3"/>
    <m/>
    <x v="1"/>
    <x v="1"/>
    <n v="3"/>
    <x v="0"/>
    <s v="More desserts"/>
    <x v="0"/>
    <s v="Don't charge for dipping sauc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DAF4B8-D8CF-4228-8D55-38C86313FF4F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N1:O4" firstHeaderRow="1" firstDataRow="1" firstDataCol="1"/>
  <pivotFields count="14">
    <pivotField showAll="0"/>
    <pivotField numFmtId="165" showAll="0"/>
    <pivotField numFmtId="165" showAll="0"/>
    <pivotField numFmtId="45" showAll="0"/>
    <pivotField showAll="0"/>
    <pivotField dataField="1"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</pivotFields>
  <rowFields count="1">
    <field x="10"/>
  </rowFields>
  <rowItems count="3">
    <i>
      <x/>
    </i>
    <i>
      <x v="1"/>
    </i>
    <i t="grand">
      <x/>
    </i>
  </rowItems>
  <colItems count="1">
    <i/>
  </colItems>
  <dataFields count="1">
    <dataField name="Count of Name" fld="5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3FAD18-A1E4-44B7-98AB-DAD9767DFE34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1:B5" firstHeaderRow="1" firstDataRow="1" firstDataCol="1"/>
  <pivotFields count="14">
    <pivotField showAll="0"/>
    <pivotField numFmtId="165" showAll="0"/>
    <pivotField numFmtId="165" showAll="0"/>
    <pivotField numFmtId="45" showAll="0"/>
    <pivotField showAll="0"/>
    <pivotField dataField="1"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showAll="0">
      <items count="4">
        <item x="2"/>
        <item x="0"/>
        <item x="1"/>
        <item t="default"/>
      </items>
    </pivotField>
    <pivotField showAll="0"/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Name" fld="5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BA9B57-FE33-489E-916E-D18ADCE5149F}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20:B23" firstHeaderRow="1" firstDataRow="1" firstDataCol="1"/>
  <pivotFields count="14">
    <pivotField showAll="0"/>
    <pivotField numFmtId="165" showAll="0"/>
    <pivotField numFmtId="165" showAll="0"/>
    <pivotField numFmtId="45" showAll="0"/>
    <pivotField dataField="1" showAll="0"/>
    <pivotField showAll="0">
      <items count="5">
        <item x="0"/>
        <item x="2"/>
        <item x="3"/>
        <item x="1"/>
        <item t="default"/>
      </items>
    </pivotField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7"/>
  </rowFields>
  <rowItems count="3">
    <i>
      <x/>
    </i>
    <i>
      <x v="1"/>
    </i>
    <i t="grand">
      <x/>
    </i>
  </rowItems>
  <colItems count="1">
    <i/>
  </colItems>
  <dataFields count="1">
    <dataField name="Count of Email" fld="4" subtotal="count" baseField="0" baseItem="0"/>
  </dataFields>
  <chartFormats count="3">
    <chartFormat chart="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N6" totalsRowCount="1">
  <autoFilter ref="A1:N5" xr:uid="{00000000-0009-0000-0100-000001000000}"/>
  <tableColumns count="14">
    <tableColumn id="1" xr3:uid="{00000000-0010-0000-0000-000001000000}" name="ID" dataDxfId="27" totalsRowDxfId="26"/>
    <tableColumn id="2" xr3:uid="{00000000-0010-0000-0000-000002000000}" name="Start time" dataDxfId="25" totalsRowDxfId="24"/>
    <tableColumn id="3" xr3:uid="{00000000-0010-0000-0000-000003000000}" name="Completion time" dataDxfId="23" totalsRowDxfId="22"/>
    <tableColumn id="14" xr3:uid="{68CDAADE-749B-44F3-93D0-D2A924E24A24}" name="Time to complete" totalsRowFunction="custom" dataDxfId="21" totalsRowDxfId="20">
      <calculatedColumnFormula>C2-B2</calculatedColumnFormula>
      <totalsRowFormula>AVERAGE(D2:D5)</totalsRowFormula>
    </tableColumn>
    <tableColumn id="4" xr3:uid="{00000000-0010-0000-0000-000004000000}" name="Email" dataDxfId="19" totalsRowDxfId="18"/>
    <tableColumn id="5" xr3:uid="{00000000-0010-0000-0000-000005000000}" name="Name" dataDxfId="17" totalsRowDxfId="16"/>
    <tableColumn id="6" xr3:uid="{00000000-0010-0000-0000-000006000000}" name="Last modified time" dataDxfId="15" totalsRowDxfId="14"/>
    <tableColumn id="7" xr3:uid="{00000000-0010-0000-0000-000007000000}" name="How would you rate Popeyes from 1-5 stars(1 being not good - 5 being excellent)?" totalsRowFunction="custom" dataDxfId="13" totalsRowDxfId="12">
      <totalsRowFormula>AVERAGE(H2:H5)</totalsRowFormula>
    </tableColumn>
    <tableColumn id="8" xr3:uid="{00000000-0010-0000-0000-000008000000}" name="How often do you visit popeyes?" dataDxfId="11" totalsRowDxfId="10"/>
    <tableColumn id="9" xr3:uid="{00000000-0010-0000-0000-000009000000}" name="How would you rate our customer service(1 being not good - 5 being excellent)?" totalsRowFunction="custom" dataDxfId="9" totalsRowDxfId="8">
      <totalsRowFormula>AVERAGE(J2:J5)</totalsRowFormula>
    </tableColumn>
    <tableColumn id="10" xr3:uid="{00000000-0010-0000-0000-00000A000000}" name="What is your favorite menu item?" totalsRowFunction="custom" dataDxfId="7" totalsRowDxfId="6">
      <totalsRowFormula>COUNTIF(Table1[What is your favorite menu item?],"Chicken Sandwiches")</totalsRowFormula>
    </tableColumn>
    <tableColumn id="11" xr3:uid="{00000000-0010-0000-0000-00000B000000}" name="Are there any menu items you would like to see be added?" dataDxfId="5" totalsRowDxfId="4"/>
    <tableColumn id="12" xr3:uid="{00000000-0010-0000-0000-00000C000000}" name="If there was a rewards program. What would entice you to join and actively participate?" totalsRowFunction="custom" dataDxfId="3" totalsRowDxfId="2">
      <totalsRowFormula>COUNTIF(Table1[If there was a rewards program. What would entice you to join and actively participate?],"Free Menu Items?;")</totalsRowFormula>
    </tableColumn>
    <tableColumn id="13" xr3:uid="{00000000-0010-0000-0000-00000D000000}" name="Do you have any feedback or comments on what we could improve on?" dataDxfId="1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"/>
  <sheetViews>
    <sheetView workbookViewId="0">
      <selection activeCell="D5" sqref="D5"/>
    </sheetView>
  </sheetViews>
  <sheetFormatPr defaultRowHeight="15" x14ac:dyDescent="0.25"/>
  <cols>
    <col min="1" max="3" width="20" bestFit="1" customWidth="1"/>
    <col min="4" max="4" width="20" customWidth="1"/>
    <col min="5" max="14" width="20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37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25">
      <c r="A2">
        <v>1</v>
      </c>
      <c r="B2" s="2">
        <v>46122.620451388902</v>
      </c>
      <c r="C2" s="2">
        <v>46122.621238425898</v>
      </c>
      <c r="D2" s="3">
        <f t="shared" ref="D2:D5" si="0">C2-B2</f>
        <v>7.8703699546167627E-4</v>
      </c>
      <c r="E2" t="s">
        <v>13</v>
      </c>
      <c r="F2" t="s">
        <v>14</v>
      </c>
      <c r="G2" s="1"/>
      <c r="H2">
        <v>3</v>
      </c>
      <c r="I2" t="s">
        <v>15</v>
      </c>
      <c r="J2">
        <v>1</v>
      </c>
      <c r="K2" t="s">
        <v>16</v>
      </c>
      <c r="L2" t="s">
        <v>17</v>
      </c>
      <c r="M2" t="s">
        <v>18</v>
      </c>
      <c r="N2" t="s">
        <v>19</v>
      </c>
    </row>
    <row r="3" spans="1:14" x14ac:dyDescent="0.25">
      <c r="A3">
        <v>2</v>
      </c>
      <c r="B3" s="2">
        <v>46122.6244560185</v>
      </c>
      <c r="C3" s="2">
        <v>46123.621238368054</v>
      </c>
      <c r="D3" s="3">
        <f t="shared" si="0"/>
        <v>0.99678234955354128</v>
      </c>
      <c r="E3" t="s">
        <v>20</v>
      </c>
      <c r="F3" t="s">
        <v>21</v>
      </c>
      <c r="G3" s="1"/>
      <c r="H3">
        <v>4</v>
      </c>
      <c r="I3" t="s">
        <v>22</v>
      </c>
      <c r="J3">
        <v>4</v>
      </c>
      <c r="K3" t="s">
        <v>16</v>
      </c>
      <c r="L3" t="s">
        <v>23</v>
      </c>
      <c r="M3" t="s">
        <v>24</v>
      </c>
      <c r="N3" t="s">
        <v>25</v>
      </c>
    </row>
    <row r="4" spans="1:14" x14ac:dyDescent="0.25">
      <c r="A4">
        <v>3</v>
      </c>
      <c r="B4" s="2">
        <v>46122.7339236111</v>
      </c>
      <c r="C4" s="2">
        <v>46124.621238368054</v>
      </c>
      <c r="D4" s="3">
        <f t="shared" si="0"/>
        <v>1.887314756953856</v>
      </c>
      <c r="E4" t="s">
        <v>26</v>
      </c>
      <c r="F4" t="s">
        <v>27</v>
      </c>
      <c r="G4" s="1"/>
      <c r="H4">
        <v>3</v>
      </c>
      <c r="I4" t="s">
        <v>28</v>
      </c>
      <c r="J4">
        <v>2</v>
      </c>
      <c r="K4" t="s">
        <v>29</v>
      </c>
      <c r="L4" t="s">
        <v>30</v>
      </c>
      <c r="M4" t="s">
        <v>31</v>
      </c>
      <c r="N4" t="s">
        <v>32</v>
      </c>
    </row>
    <row r="5" spans="1:14" x14ac:dyDescent="0.25">
      <c r="A5">
        <v>4</v>
      </c>
      <c r="B5" s="2">
        <v>46122.859270833302</v>
      </c>
      <c r="C5" s="2">
        <v>46125.621238368054</v>
      </c>
      <c r="D5" s="3">
        <f t="shared" si="0"/>
        <v>2.7619675347523298</v>
      </c>
      <c r="E5" t="s">
        <v>33</v>
      </c>
      <c r="F5" t="s">
        <v>34</v>
      </c>
      <c r="G5" s="1"/>
      <c r="H5">
        <v>4</v>
      </c>
      <c r="I5" t="s">
        <v>22</v>
      </c>
      <c r="J5">
        <v>3</v>
      </c>
      <c r="K5" t="s">
        <v>16</v>
      </c>
      <c r="L5" t="s">
        <v>35</v>
      </c>
      <c r="M5" t="s">
        <v>18</v>
      </c>
      <c r="N5" t="s">
        <v>36</v>
      </c>
    </row>
    <row r="6" spans="1:14" x14ac:dyDescent="0.25">
      <c r="B6" s="2"/>
      <c r="C6" s="1"/>
      <c r="D6" s="3">
        <f>AVERAGE(D2:D5)</f>
        <v>1.4117129195637972</v>
      </c>
      <c r="G6" s="1"/>
      <c r="H6">
        <f>AVERAGE(H2:H5)</f>
        <v>3.5</v>
      </c>
      <c r="J6">
        <f>AVERAGE(J2:J5)</f>
        <v>2.5</v>
      </c>
      <c r="K6">
        <f>COUNTIF(Table1[What is your favorite menu item?],"Chicken Sandwiches")</f>
        <v>3</v>
      </c>
      <c r="M6">
        <f>COUNTIF(Table1[If there was a rewards program. What would entice you to join and actively participate?],"Free Menu Items?;")</f>
        <v>2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CE727-C294-4C2B-9B1A-7761A96D46A8}">
  <dimension ref="A1:O23"/>
  <sheetViews>
    <sheetView tabSelected="1" workbookViewId="0">
      <selection activeCell="O22" sqref="O22"/>
    </sheetView>
  </sheetViews>
  <sheetFormatPr defaultRowHeight="15" x14ac:dyDescent="0.25"/>
  <cols>
    <col min="1" max="1" width="13.140625" bestFit="1" customWidth="1"/>
    <col min="2" max="2" width="14.42578125" bestFit="1" customWidth="1"/>
    <col min="3" max="3" width="9.42578125" bestFit="1" customWidth="1"/>
    <col min="14" max="14" width="20.85546875" bestFit="1" customWidth="1"/>
    <col min="15" max="15" width="14.42578125" bestFit="1" customWidth="1"/>
  </cols>
  <sheetData>
    <row r="1" spans="1:15" x14ac:dyDescent="0.25">
      <c r="A1" s="4" t="s">
        <v>38</v>
      </c>
      <c r="B1" t="s">
        <v>40</v>
      </c>
      <c r="N1" s="4" t="s">
        <v>38</v>
      </c>
      <c r="O1" t="s">
        <v>40</v>
      </c>
    </row>
    <row r="2" spans="1:15" x14ac:dyDescent="0.25">
      <c r="A2" s="5" t="s">
        <v>15</v>
      </c>
      <c r="B2" s="6">
        <v>1</v>
      </c>
      <c r="N2" s="5" t="s">
        <v>16</v>
      </c>
      <c r="O2" s="6">
        <v>3</v>
      </c>
    </row>
    <row r="3" spans="1:15" x14ac:dyDescent="0.25">
      <c r="A3" s="5" t="s">
        <v>22</v>
      </c>
      <c r="B3" s="6">
        <v>2</v>
      </c>
      <c r="N3" s="5" t="s">
        <v>29</v>
      </c>
      <c r="O3" s="6">
        <v>1</v>
      </c>
    </row>
    <row r="4" spans="1:15" x14ac:dyDescent="0.25">
      <c r="A4" s="5" t="s">
        <v>28</v>
      </c>
      <c r="B4" s="6">
        <v>1</v>
      </c>
      <c r="N4" s="5" t="s">
        <v>39</v>
      </c>
      <c r="O4" s="6">
        <v>4</v>
      </c>
    </row>
    <row r="5" spans="1:15" x14ac:dyDescent="0.25">
      <c r="A5" s="5" t="s">
        <v>39</v>
      </c>
      <c r="B5" s="6">
        <v>4</v>
      </c>
    </row>
    <row r="20" spans="1:2" x14ac:dyDescent="0.25">
      <c r="A20" s="4" t="s">
        <v>38</v>
      </c>
      <c r="B20" t="s">
        <v>41</v>
      </c>
    </row>
    <row r="21" spans="1:2" x14ac:dyDescent="0.25">
      <c r="A21" s="5">
        <v>3</v>
      </c>
      <c r="B21">
        <v>2</v>
      </c>
    </row>
    <row r="22" spans="1:2" x14ac:dyDescent="0.25">
      <c r="A22" s="5">
        <v>4</v>
      </c>
      <c r="B22">
        <v>2</v>
      </c>
    </row>
    <row r="23" spans="1:2" x14ac:dyDescent="0.25">
      <c r="A23" s="5" t="s">
        <v>39</v>
      </c>
      <c r="B23">
        <v>4</v>
      </c>
    </row>
  </sheetData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Responses data</vt:lpstr>
      <vt:lpstr>Charts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Brandon ?</cp:lastModifiedBy>
  <dcterms:created xsi:type="dcterms:W3CDTF">2026-04-11T23:22:13Z</dcterms:created>
  <dcterms:modified xsi:type="dcterms:W3CDTF">2026-04-11T23:53:21Z</dcterms:modified>
</cp:coreProperties>
</file>